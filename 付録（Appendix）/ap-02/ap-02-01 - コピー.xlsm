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付録（Appendix）\ap-02\"/>
    </mc:Choice>
  </mc:AlternateContent>
  <xr:revisionPtr revIDLastSave="0" documentId="13_ncr:1_{C4BE1129-17AA-41F2-897C-3D88DED4B4C0}" xr6:coauthVersionLast="47" xr6:coauthVersionMax="47" xr10:uidLastSave="{00000000-0000-0000-0000-000000000000}"/>
  <bookViews>
    <workbookView xWindow="820" yWindow="-110" windowWidth="18490" windowHeight="11020" xr2:uid="{43A90546-B674-43BB-B6E1-11BE25BA3EAB}"/>
  </bookViews>
  <sheets>
    <sheet name="見積書" sheetId="1" r:id="rId1"/>
    <sheet name="見積一覧" sheetId="4" r:id="rId2"/>
    <sheet name="取引先マスタ" sheetId="5" r:id="rId3"/>
    <sheet name="商品マスタ" sheetId="2" r:id="rId4"/>
  </sheets>
  <definedNames>
    <definedName name="_xlnm.Print_Area" localSheetId="0">見積書!$A$1:$F$18</definedName>
    <definedName name="検索NO">見積書!$I$14</definedName>
    <definedName name="見積NO">見積一覧!$A$3</definedName>
    <definedName name="取引先リスト">テーブル1[[取引先NO]:[会社名]]</definedName>
    <definedName name="商品リスト">テーブル2[[商品NO]:[単価]]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A15" i="1"/>
  <c r="F14" i="1"/>
  <c r="A14" i="1"/>
  <c r="F13" i="1"/>
  <c r="A13" i="1"/>
  <c r="F12" i="1"/>
  <c r="A12" i="1"/>
  <c r="F11" i="1"/>
  <c r="A11" i="1"/>
  <c r="F10" i="1"/>
  <c r="A10" i="1"/>
  <c r="F16" i="1" l="1"/>
  <c r="F17" i="1" s="1"/>
  <c r="F18" i="1" s="1"/>
  <c r="C7" i="1" s="1"/>
</calcChain>
</file>

<file path=xl/sharedStrings.xml><?xml version="1.0" encoding="utf-8"?>
<sst xmlns="http://schemas.openxmlformats.org/spreadsheetml/2006/main" count="121" uniqueCount="82">
  <si>
    <t>株式会社　SB○○商事</t>
    <rPh sb="0" eb="4">
      <t>カブシキガイシャ</t>
    </rPh>
    <rPh sb="9" eb="11">
      <t>ショウジ</t>
    </rPh>
    <phoneticPr fontId="2"/>
  </si>
  <si>
    <t>〒106-0032　東京都港区六本木ｘ－ｘ－ｘ</t>
    <rPh sb="10" eb="13">
      <t>トウキョウト</t>
    </rPh>
    <rPh sb="13" eb="15">
      <t>ミナトク</t>
    </rPh>
    <rPh sb="15" eb="18">
      <t>ロッポンギ</t>
    </rPh>
    <phoneticPr fontId="2"/>
  </si>
  <si>
    <t>NO</t>
    <phoneticPr fontId="2"/>
  </si>
  <si>
    <t>商品NO</t>
    <rPh sb="0" eb="2">
      <t>ショウヒン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</si>
  <si>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</si>
  <si>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</si>
  <si>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</si>
  <si>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</si>
  <si>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取引先NO</t>
    <rPh sb="0" eb="2">
      <t>トリヒキ</t>
    </rPh>
    <rPh sb="2" eb="3">
      <t>サキ</t>
    </rPh>
    <phoneticPr fontId="2"/>
  </si>
  <si>
    <t>商品マスター</t>
    <rPh sb="0" eb="2">
      <t>ショウヒン</t>
    </rPh>
    <phoneticPr fontId="2"/>
  </si>
  <si>
    <t>DE1001</t>
    <phoneticPr fontId="2"/>
  </si>
  <si>
    <t>DE1002</t>
    <phoneticPr fontId="2"/>
  </si>
  <si>
    <t>会議用デスク</t>
    <rPh sb="0" eb="3">
      <t>カイギヨウ</t>
    </rPh>
    <phoneticPr fontId="2"/>
  </si>
  <si>
    <t>DE1003</t>
    <phoneticPr fontId="2"/>
  </si>
  <si>
    <t>サイドデスク</t>
    <phoneticPr fontId="2"/>
  </si>
  <si>
    <t>CH2001</t>
    <phoneticPr fontId="2"/>
  </si>
  <si>
    <t>事務用チェア</t>
    <rPh sb="0" eb="3">
      <t>ジムヨウ</t>
    </rPh>
    <phoneticPr fontId="2"/>
  </si>
  <si>
    <t>CH2002</t>
    <phoneticPr fontId="2"/>
  </si>
  <si>
    <t>会議用チェア</t>
    <rPh sb="0" eb="3">
      <t>カイギヨウ</t>
    </rPh>
    <phoneticPr fontId="2"/>
  </si>
  <si>
    <t>WA3001</t>
    <phoneticPr fontId="2"/>
  </si>
  <si>
    <t>ワゴン（3段）</t>
    <rPh sb="5" eb="6">
      <t>ダン</t>
    </rPh>
    <phoneticPr fontId="2"/>
  </si>
  <si>
    <t>WA3002</t>
    <phoneticPr fontId="2"/>
  </si>
  <si>
    <t>ワゴン（4段）</t>
    <rPh sb="5" eb="6">
      <t>ダン</t>
    </rPh>
    <phoneticPr fontId="2"/>
  </si>
  <si>
    <t>PT4001</t>
    <phoneticPr fontId="2"/>
  </si>
  <si>
    <t>パーティション</t>
    <phoneticPr fontId="2"/>
  </si>
  <si>
    <t>取引先名</t>
    <rPh sb="0" eb="2">
      <t>トリヒキ</t>
    </rPh>
    <rPh sb="2" eb="3">
      <t>サキ</t>
    </rPh>
    <rPh sb="3" eb="4">
      <t>メイ</t>
    </rPh>
    <phoneticPr fontId="2"/>
  </si>
  <si>
    <t>小計</t>
    <rPh sb="0" eb="2">
      <t>ショウケイ</t>
    </rPh>
    <phoneticPr fontId="2"/>
  </si>
  <si>
    <t>消費税</t>
    <rPh sb="0" eb="3">
      <t>ショウヒゼイ</t>
    </rPh>
    <phoneticPr fontId="2"/>
  </si>
  <si>
    <t>合計</t>
    <rPh sb="0" eb="2">
      <t>ゴウケイ</t>
    </rPh>
    <phoneticPr fontId="2"/>
  </si>
  <si>
    <t>ＴＥＬ：03-ｘｘｘ-ｘｘｘｘ</t>
  </si>
  <si>
    <t>金額</t>
    <rPh sb="0" eb="2">
      <t>キンガク</t>
    </rPh>
    <phoneticPr fontId="2"/>
  </si>
  <si>
    <t>取引先マスター</t>
    <rPh sb="0" eb="2">
      <t>トリヒキ</t>
    </rPh>
    <rPh sb="2" eb="3">
      <t>サキ</t>
    </rPh>
    <phoneticPr fontId="2"/>
  </si>
  <si>
    <t>会社名</t>
    <rPh sb="0" eb="3">
      <t>カイシャメイ</t>
    </rPh>
    <phoneticPr fontId="2"/>
  </si>
  <si>
    <t>担当者</t>
    <rPh sb="0" eb="3">
      <t>タントウシャ</t>
    </rPh>
    <phoneticPr fontId="2"/>
  </si>
  <si>
    <t>C1001</t>
    <phoneticPr fontId="2"/>
  </si>
  <si>
    <t>あかさ商事株式会社</t>
    <rPh sb="3" eb="5">
      <t>ショウジ</t>
    </rPh>
    <rPh sb="5" eb="9">
      <t>カブシキガイシャ</t>
    </rPh>
    <phoneticPr fontId="2"/>
  </si>
  <si>
    <t>田中　太郎</t>
    <rPh sb="0" eb="2">
      <t>タナカ</t>
    </rPh>
    <rPh sb="3" eb="5">
      <t>タロウ</t>
    </rPh>
    <phoneticPr fontId="2"/>
  </si>
  <si>
    <t>C1002</t>
    <phoneticPr fontId="2"/>
  </si>
  <si>
    <t>トゥデイ工業株式会社</t>
    <rPh sb="4" eb="6">
      <t>コウギョウ</t>
    </rPh>
    <rPh sb="6" eb="10">
      <t>カブシキガイシャ</t>
    </rPh>
    <phoneticPr fontId="2"/>
  </si>
  <si>
    <t>後藤　慎一郎</t>
    <rPh sb="0" eb="2">
      <t>ゴトウ</t>
    </rPh>
    <rPh sb="3" eb="6">
      <t>シンイチロウ</t>
    </rPh>
    <phoneticPr fontId="2"/>
  </si>
  <si>
    <t>C1003</t>
  </si>
  <si>
    <t>株式会社マクスワイ</t>
    <rPh sb="0" eb="4">
      <t>カブシキガイシャ</t>
    </rPh>
    <phoneticPr fontId="2"/>
  </si>
  <si>
    <t>山下　紀子</t>
    <rPh sb="0" eb="2">
      <t>ヤマシタ</t>
    </rPh>
    <rPh sb="3" eb="5">
      <t>ノリコ</t>
    </rPh>
    <phoneticPr fontId="2"/>
  </si>
  <si>
    <t>C1004</t>
  </si>
  <si>
    <t>株式会社天空産業</t>
    <rPh sb="0" eb="4">
      <t>カブシキガイシャ</t>
    </rPh>
    <rPh sb="4" eb="6">
      <t>テンクウ</t>
    </rPh>
    <rPh sb="6" eb="8">
      <t>サンギョウ</t>
    </rPh>
    <phoneticPr fontId="2"/>
  </si>
  <si>
    <t>鈴木　徹</t>
    <rPh sb="0" eb="2">
      <t>スズキ</t>
    </rPh>
    <rPh sb="3" eb="4">
      <t>トオル</t>
    </rPh>
    <phoneticPr fontId="2"/>
  </si>
  <si>
    <t>C1005</t>
    <phoneticPr fontId="2"/>
  </si>
  <si>
    <t>AAA商会株式会社</t>
    <rPh sb="3" eb="5">
      <t>ショウカイ</t>
    </rPh>
    <rPh sb="5" eb="9">
      <t>カブシキガイシャ</t>
    </rPh>
    <phoneticPr fontId="2"/>
  </si>
  <si>
    <t>斉藤　浩二</t>
    <rPh sb="0" eb="2">
      <t>サイトウ</t>
    </rPh>
    <rPh sb="3" eb="5">
      <t>コウジ</t>
    </rPh>
    <phoneticPr fontId="2"/>
  </si>
  <si>
    <t>あかさ商事株式会社</t>
  </si>
  <si>
    <t>C1001</t>
  </si>
  <si>
    <t>DE1001</t>
  </si>
  <si>
    <t>事務デスク</t>
  </si>
  <si>
    <t>CH2001</t>
  </si>
  <si>
    <t>事務用チェア</t>
  </si>
  <si>
    <t>PT4001</t>
  </si>
  <si>
    <t>パーティション</t>
  </si>
  <si>
    <t>AAA商会株式会社</t>
  </si>
  <si>
    <t>C1005</t>
  </si>
  <si>
    <t>WA3002</t>
  </si>
  <si>
    <t>ワゴン（4段）</t>
  </si>
  <si>
    <t>トゥデイ工業株式会社</t>
  </si>
  <si>
    <t>C1002</t>
  </si>
  <si>
    <t>株式会社マクスワイ</t>
  </si>
  <si>
    <t>見　積　書</t>
    <rPh sb="0" eb="1">
      <t>ミ</t>
    </rPh>
    <rPh sb="2" eb="3">
      <t>セキ</t>
    </rPh>
    <rPh sb="4" eb="5">
      <t>ショ</t>
    </rPh>
    <phoneticPr fontId="2"/>
  </si>
  <si>
    <t>見積NO</t>
    <rPh sb="0" eb="2">
      <t>ミツモリ</t>
    </rPh>
    <phoneticPr fontId="2"/>
  </si>
  <si>
    <t>見積日</t>
    <rPh sb="0" eb="2">
      <t>ミツモリ</t>
    </rPh>
    <rPh sb="2" eb="3">
      <t>ビ</t>
    </rPh>
    <phoneticPr fontId="2"/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</si>
  <si>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2"/>
  </si>
  <si>
    <t>見積金額</t>
    <rPh sb="0" eb="2">
      <t>ミツモ</t>
    </rPh>
    <rPh sb="2" eb="4">
      <t>キンガク</t>
    </rPh>
    <phoneticPr fontId="2"/>
  </si>
  <si>
    <t>見積一覧</t>
    <rPh sb="0" eb="2">
      <t>ミツモリ</t>
    </rPh>
    <rPh sb="2" eb="4">
      <t>イチラン</t>
    </rPh>
    <phoneticPr fontId="2"/>
  </si>
  <si>
    <t>WA3001</t>
  </si>
  <si>
    <t>ワゴン（3段）</t>
  </si>
  <si>
    <t>事務用デスク</t>
  </si>
  <si>
    <t>事務用デスク</t>
    <rPh sb="0" eb="2">
      <t>ジム</t>
    </rPh>
    <rPh sb="2" eb="3">
      <t>ヨウ</t>
    </rPh>
    <phoneticPr fontId="2"/>
  </si>
  <si>
    <t>見積書NO</t>
    <rPh sb="0" eb="3">
      <t>ミツモリショ</t>
    </rPh>
    <phoneticPr fontId="2"/>
  </si>
  <si>
    <t>株式会社天空産業</t>
  </si>
  <si>
    <t>DE1002</t>
  </si>
  <si>
    <t>会議用デスク</t>
  </si>
  <si>
    <t>DE1003</t>
  </si>
  <si>
    <t>サイドデスク</t>
  </si>
  <si>
    <t>CH2002</t>
  </si>
  <si>
    <t>会議用チェア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</si>
</sst>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¥&quot;#,##0;[Red]&quot;¥&quot;\-#,##0"/>
    <numFmt numFmtId="176" formatCode="yyyy&quot;年&quot;mm&quot;月&quot;dd&quot;日&quot;;@"/>
    <numFmt numFmtId="177" formatCode="yyyy/mm/dd"/>
    <numFmt numFmtId="178" formatCode="\(0%\)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8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0" fontId="4" fillId="0" borderId="1" xfId="0" applyFont="1" applyBorder="1">
      <alignment vertical="center"/>
    </xf>
    <xf numFmtId="6" fontId="0" fillId="2" borderId="3" xfId="2" applyFont="1" applyFill="1" applyBorder="1">
      <alignment vertical="center"/>
    </xf>
    <xf numFmtId="0" fontId="0" fillId="0" borderId="0" xfId="0" applyAlignment="1">
      <alignment horizontal="center" vertical="center"/>
    </xf>
    <xf numFmtId="6" fontId="0" fillId="0" borderId="0" xfId="2" applyFont="1" applyBorder="1">
      <alignment vertical="center"/>
    </xf>
    <xf numFmtId="6" fontId="7" fillId="0" borderId="0" xfId="2" applyFont="1" applyBorder="1">
      <alignment vertical="center"/>
    </xf>
    <xf numFmtId="177" fontId="0" fillId="0" borderId="0" xfId="1" applyNumberFormat="1" applyFont="1">
      <alignment vertical="center"/>
    </xf>
    <xf numFmtId="38" fontId="0" fillId="0" borderId="0" xfId="1" applyFont="1">
      <alignment vertical="center"/>
    </xf>
    <xf numFmtId="177" fontId="0" fillId="0" borderId="0" xfId="0" applyNumberFormat="1">
      <alignment vertical="center"/>
    </xf>
    <xf numFmtId="0" fontId="0" fillId="3" borderId="0" xfId="0" applyFill="1" applyAlignment="1">
      <alignment horizontal="center" vertical="center"/>
    </xf>
    <xf numFmtId="177" fontId="0" fillId="3" borderId="0" xfId="0" applyNumberFormat="1" applyFill="1" applyAlignment="1">
      <alignment horizontal="center" vertical="center"/>
    </xf>
    <xf numFmtId="38" fontId="0" fillId="3" borderId="0" xfId="1" applyFont="1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3" borderId="4" xfId="0" applyFill="1" applyBorder="1" applyAlignment="1">
      <alignment horizontal="right" vertical="center"/>
    </xf>
    <xf numFmtId="178" fontId="0" fillId="3" borderId="5" xfId="0" applyNumberFormat="1" applyFill="1" applyBorder="1" applyAlignment="1">
      <alignment horizontal="left" vertical="center"/>
    </xf>
    <xf numFmtId="0" fontId="0" fillId="2" borderId="3" xfId="0" applyFill="1" applyBorder="1">
      <alignment vertical="center"/>
    </xf>
    <xf numFmtId="0" fontId="0" fillId="0" borderId="1" xfId="0" applyBorder="1" applyProtection="1">
      <alignment vertical="center"/>
      <protection locked="0"/>
    </xf>
    <xf numFmtId="176" fontId="0" fillId="0" borderId="2" xfId="0" applyNumberFormat="1" applyBorder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3" xfId="0" applyBorder="1" applyProtection="1">
      <alignment vertical="center"/>
      <protection locked="0"/>
    </xf>
    <xf numFmtId="6" fontId="0" fillId="0" borderId="3" xfId="2" applyFont="1" applyFill="1" applyBorder="1" applyProtection="1">
      <alignment vertical="center"/>
      <protection locked="0"/>
    </xf>
    <xf numFmtId="6" fontId="5" fillId="0" borderId="1" xfId="2" applyFont="1" applyFill="1" applyBorder="1" applyAlignment="1">
      <alignment horizontal="center" vertical="center"/>
    </xf>
    <xf numFmtId="0" fontId="0" fillId="0" borderId="6" xfId="0" applyBorder="1" applyAlignment="1" applyProtection="1">
      <alignment horizontal="center" vertical="center"/>
      <protection locked="0"/>
    </xf>
    <xf numFmtId="0" fontId="7" fillId="4" borderId="6" xfId="0" applyFont="1" applyFill="1" applyBorder="1" applyAlignment="1">
      <alignment horizontal="center" vertical="center"/>
    </xf>
    <xf numFmtId="6" fontId="0" fillId="0" borderId="0" xfId="2" applyFont="1">
      <alignment vertical="center"/>
    </xf>
    <xf numFmtId="6" fontId="0" fillId="3" borderId="0" xfId="2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3" fillId="0" borderId="1" xfId="0" applyFont="1" applyBorder="1" applyProtection="1">
      <alignment vertical="center"/>
      <protection locked="0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1233488</xdr:colOff>
      <xdr:row>3</xdr:row>
      <xdr:rowOff>19050</xdr:rowOff>
    </xdr:from>
    <xdr:to>
      <xdr:col>2</xdr:col>
      <xdr:colOff>1800225</xdr:colOff>
      <xdr:row>3</xdr:row>
      <xdr:rowOff>275812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86013" y="781050"/>
          <a:ext cx="566737" cy="2567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/>
            <a:t>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203200</xdr:rowOff>
        </xdr:from>
        <xdr:to>
          <xdr:col>11</xdr:col>
          <xdr:colOff>571500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9</xdr:row>
          <xdr:rowOff>190500</xdr:rowOff>
        </xdr:from>
        <xdr:to>
          <xdr:col>11</xdr:col>
          <xdr:colOff>571500</xdr:colOff>
          <xdr:row>11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69850</xdr:rowOff>
        </xdr:from>
        <xdr:to>
          <xdr:col>11</xdr:col>
          <xdr:colOff>571500</xdr:colOff>
          <xdr:row>13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107950</xdr:rowOff>
        </xdr:from>
        <xdr:to>
          <xdr:col>11</xdr:col>
          <xdr:colOff>571500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31750</xdr:rowOff>
        </xdr:from>
        <xdr:to>
          <xdr:col>11</xdr:col>
          <xdr:colOff>571500</xdr:colOff>
          <xdr:row>6</xdr:row>
          <xdr:rowOff>184150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取引先入力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14</xdr:row>
          <xdr:rowOff>203200</xdr:rowOff>
        </xdr:from>
        <xdr:to>
          <xdr:col>11</xdr:col>
          <xdr:colOff>571500</xdr:colOff>
          <xdr:row>16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7</xdr:row>
          <xdr:rowOff>69850</xdr:rowOff>
        </xdr:from>
        <xdr:to>
          <xdr:col>11</xdr:col>
          <xdr:colOff>571500</xdr:colOff>
          <xdr:row>8</xdr:row>
          <xdr:rowOff>222250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商品入力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7F5025-F856-4A9A-B074-F0BC5864F1C0}" name="テーブル1" displayName="テーブル1" ref="A3:C8" totalsRowShown="0" headerRowDxfId="6" dataDxfId="5">
  <autoFilter ref="A3:C8" xr:uid="{379677D1-7E82-463A-A28B-47868FB92647}"/>
  <tableColumns count="3">
    <tableColumn id="1" xr3:uid="{DE9859CA-9D3D-4FBF-8DC7-6011349BE374}" name="取引先NO" dataDxfId="4"/>
    <tableColumn id="2" xr3:uid="{E6298FDE-AA20-4B38-83DF-6EC4D1C549F3}" name="会社名" dataDxfId="3"/>
    <tableColumn id="3" xr3:uid="{A4A1667D-8C5D-41AF-9263-91A36C7344ED}" name="担当者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D468FC-9467-4966-A11E-562AC8535648}" name="テーブル2" displayName="テーブル2" ref="A3:C11" totalsRowShown="0" headerRowDxfId="1">
  <autoFilter ref="A3:C11" xr:uid="{D790E58E-978D-484B-9835-706F774F719E}"/>
  <tableColumns count="3">
    <tableColumn id="1" xr3:uid="{6606DE6D-B3D4-444A-B07B-C44FDEDB254F}" name="商品NO"/>
    <tableColumn id="2" xr3:uid="{DA27CFAE-4DDF-4C26-925F-1F886CE25C03}" name="商品名"/>
    <tableColumn id="4" xr3:uid="{6A17888E-0EE9-4E29-A937-DA553B0900CD}" name="単価" dataDxfId="0" dataCellStyle="通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5B1A-26FC-407E-A332-26FCAF5EAF03}">
  <sheetPr codeName="Sheet1">
    <pageSetUpPr fitToPage="1"/>
  </sheetPr>
  <dimension ref="A1:M22"/>
  <sheetViews>
    <sheetView tabSelected="1" zoomScaleNormal="100" workbookViewId="0">
      <selection sqref="A1:F1"/>
    </sheetView>
  </sheetViews>
  <sheetFormatPr defaultRowHeight="18" customHeight="1" x14ac:dyDescent="0.55000000000000004"/>
  <cols>
    <col min="1" max="1" width="4" customWidth="1"/>
    <col min="2" max="2" width="11.08203125" customWidth="1"/>
    <col min="3" max="3" width="24" customWidth="1"/>
    <col min="4" max="4" width="10.08203125" customWidth="1"/>
    <col min="5" max="5" width="10.5" customWidth="1"/>
    <col min="6" max="6" width="16.08203125" customWidth="1"/>
    <col min="7" max="7" width="2.25" customWidth="1"/>
    <col min="8" max="8" width="1.58203125" customWidth="1"/>
    <col min="10" max="10" width="2.08203125" customWidth="1"/>
    <col min="13" max="13" width="4" customWidth="1"/>
  </cols>
  <sheetData>
    <row r="1" spans="1:13" ht="22.5" customHeight="1" x14ac:dyDescent="0.55000000000000004">
      <c r="A1" s="30" t="s">
        <v>64</v>
      </c>
      <c r="B1" s="30"/>
      <c r="C1" s="30"/>
      <c r="D1" s="30"/>
      <c r="E1" s="30"/>
      <c r="F1" s="30"/>
      <c r="H1" s="16"/>
      <c r="I1" s="16"/>
      <c r="J1" s="16"/>
      <c r="K1" s="16"/>
      <c r="L1" s="16"/>
      <c r="M1" s="16"/>
    </row>
    <row r="2" spans="1:13" x14ac:dyDescent="0.55000000000000004">
      <c r="E2" s="1" t="s">
        <v>65</v>
      </c>
      <c r="F2" s="20"/>
      <c r="H2" s="16"/>
      <c r="I2" s="16"/>
      <c r="J2" s="16"/>
      <c r="K2" s="16"/>
      <c r="L2" s="16"/>
      <c r="M2" s="16"/>
    </row>
    <row r="3" spans="1:13" x14ac:dyDescent="0.55000000000000004">
      <c r="E3" s="2" t="s">
        <v>66</v>
      </c>
      <c r="F3" s="21"/>
      <c r="H3" s="16"/>
      <c r="I3" s="16"/>
      <c r="J3" s="16"/>
      <c r="K3" s="16"/>
      <c r="L3" s="16"/>
      <c r="M3" s="16"/>
    </row>
    <row r="4" spans="1:13" ht="22.5" x14ac:dyDescent="0.55000000000000004">
      <c r="A4" s="31"/>
      <c r="B4" s="31"/>
      <c r="C4" s="31"/>
      <c r="H4" s="16"/>
      <c r="I4" s="16"/>
      <c r="J4" s="16"/>
      <c r="K4" s="16"/>
      <c r="L4" s="16"/>
      <c r="M4" s="16"/>
    </row>
    <row r="5" spans="1:13" x14ac:dyDescent="0.55000000000000004">
      <c r="B5" s="3"/>
      <c r="C5" s="22"/>
      <c r="F5" s="3" t="s">
        <v>0</v>
      </c>
      <c r="H5" s="16"/>
      <c r="I5" s="16"/>
      <c r="J5" s="16"/>
      <c r="K5" s="16"/>
      <c r="L5" s="16"/>
      <c r="M5" s="16"/>
    </row>
    <row r="6" spans="1:13" x14ac:dyDescent="0.55000000000000004">
      <c r="A6" t="s">
        <v>67</v>
      </c>
      <c r="F6" s="3" t="s">
        <v>1</v>
      </c>
      <c r="H6" s="16"/>
      <c r="I6" s="16"/>
      <c r="J6" s="16"/>
      <c r="K6" s="16"/>
      <c r="L6" s="16"/>
      <c r="M6" s="16"/>
    </row>
    <row r="7" spans="1:13" ht="26.5" x14ac:dyDescent="0.55000000000000004">
      <c r="B7" s="4" t="s">
        <v>68</v>
      </c>
      <c r="C7" s="25">
        <f>F18</f>
        <v>0</v>
      </c>
      <c r="F7" s="3" t="s">
        <v>29</v>
      </c>
      <c r="H7" s="16"/>
      <c r="I7" s="16"/>
      <c r="J7" s="16"/>
      <c r="K7" s="16"/>
      <c r="L7" s="16"/>
      <c r="M7" s="16"/>
    </row>
    <row r="8" spans="1:13" x14ac:dyDescent="0.55000000000000004">
      <c r="H8" s="16"/>
      <c r="I8" s="16"/>
      <c r="J8" s="16"/>
      <c r="K8" s="16"/>
      <c r="L8" s="16"/>
      <c r="M8" s="16"/>
    </row>
    <row r="9" spans="1:13" x14ac:dyDescent="0.55000000000000004">
      <c r="A9" s="15" t="s">
        <v>2</v>
      </c>
      <c r="B9" s="15" t="s">
        <v>3</v>
      </c>
      <c r="C9" s="15" t="s">
        <v>4</v>
      </c>
      <c r="D9" s="15" t="s">
        <v>5</v>
      </c>
      <c r="E9" s="15" t="s">
        <v>6</v>
      </c>
      <c r="F9" s="15" t="s">
        <v>30</v>
      </c>
      <c r="H9" s="16"/>
      <c r="I9" s="16"/>
      <c r="J9" s="16"/>
      <c r="K9" s="16"/>
      <c r="L9" s="16"/>
      <c r="M9" s="16"/>
    </row>
    <row r="10" spans="1:13" x14ac:dyDescent="0.55000000000000004">
      <c r="A10" s="19">
        <f t="shared" ref="A10:A15" si="0">IF(B10="","",ROW()-9)</f>
        <v>1</v>
      </c>
      <c r="B10" s="23" t="s">
        <v>51</v>
      </c>
      <c r="C10" s="23" t="s">
        <v>72</v>
      </c>
      <c r="D10" s="24">
        <v>15000</v>
      </c>
      <c r="E10" s="23"/>
      <c r="F10" s="5">
        <f t="shared" ref="F10:F15" si="1">IF(B10="","",D10*E10)</f>
        <v>0</v>
      </c>
      <c r="H10" s="16"/>
      <c r="I10" s="16"/>
      <c r="J10" s="16"/>
      <c r="K10" s="16"/>
      <c r="L10" s="16"/>
      <c r="M10" s="16"/>
    </row>
    <row r="11" spans="1:13" x14ac:dyDescent="0.55000000000000004">
      <c r="A11" s="19">
        <f t="shared" si="0"/>
        <v>2</v>
      </c>
      <c r="B11" s="23" t="s">
        <v>76</v>
      </c>
      <c r="C11" s="23" t="s">
        <v>77</v>
      </c>
      <c r="D11" s="24">
        <v>12000</v>
      </c>
      <c r="E11" s="23"/>
      <c r="F11" s="5">
        <f t="shared" si="1"/>
        <v>0</v>
      </c>
      <c r="H11" s="16"/>
      <c r="I11" s="16"/>
      <c r="J11" s="16"/>
      <c r="K11" s="16"/>
      <c r="L11" s="16"/>
      <c r="M11" s="16"/>
    </row>
    <row r="12" spans="1:13" x14ac:dyDescent="0.55000000000000004">
      <c r="A12" s="19">
        <f t="shared" si="0"/>
        <v>3</v>
      </c>
      <c r="B12" s="23" t="s">
        <v>78</v>
      </c>
      <c r="C12" s="23" t="s">
        <v>79</v>
      </c>
      <c r="D12" s="24">
        <v>8000</v>
      </c>
      <c r="E12" s="23"/>
      <c r="F12" s="5">
        <f t="shared" si="1"/>
        <v>0</v>
      </c>
      <c r="H12" s="16"/>
      <c r="I12" s="16"/>
      <c r="J12" s="16"/>
      <c r="K12" s="16"/>
      <c r="L12" s="16"/>
      <c r="M12" s="16"/>
    </row>
    <row r="13" spans="1:13" x14ac:dyDescent="0.55000000000000004">
      <c r="A13" s="19">
        <f t="shared" si="0"/>
        <v>4</v>
      </c>
      <c r="B13" s="23" t="s">
        <v>53</v>
      </c>
      <c r="C13" s="23" t="s">
        <v>54</v>
      </c>
      <c r="D13" s="24">
        <v>20000</v>
      </c>
      <c r="E13" s="23"/>
      <c r="F13" s="5">
        <f t="shared" si="1"/>
        <v>0</v>
      </c>
      <c r="H13" s="16"/>
      <c r="I13" s="27" t="s">
        <v>74</v>
      </c>
      <c r="J13" s="16"/>
      <c r="K13" s="16"/>
      <c r="L13" s="16"/>
      <c r="M13" s="16"/>
    </row>
    <row r="14" spans="1:13" x14ac:dyDescent="0.55000000000000004">
      <c r="A14" s="19">
        <f t="shared" si="0"/>
        <v>5</v>
      </c>
      <c r="B14" s="23" t="s">
        <v>80</v>
      </c>
      <c r="C14" s="23" t="s">
        <v>81</v>
      </c>
      <c r="D14" s="24">
        <v>13000</v>
      </c>
      <c r="E14" s="23"/>
      <c r="F14" s="5">
        <f t="shared" si="1"/>
        <v>0</v>
      </c>
      <c r="H14" s="16"/>
      <c r="I14" s="26"/>
      <c r="J14" s="16"/>
      <c r="K14" s="16"/>
      <c r="L14" s="16"/>
      <c r="M14" s="16"/>
    </row>
    <row r="15" spans="1:13" x14ac:dyDescent="0.55000000000000004">
      <c r="A15" s="19" t="str">
        <f t="shared" si="0"/>
        <v/>
      </c>
      <c r="B15" s="23"/>
      <c r="C15" s="23"/>
      <c r="D15" s="24"/>
      <c r="E15" s="23"/>
      <c r="F15" s="5" t="str">
        <f t="shared" si="1"/>
        <v/>
      </c>
      <c r="H15" s="16"/>
      <c r="I15" s="16"/>
      <c r="J15" s="16"/>
      <c r="K15" s="16"/>
      <c r="L15" s="16"/>
      <c r="M15" s="16"/>
    </row>
    <row r="16" spans="1:13" x14ac:dyDescent="0.55000000000000004">
      <c r="D16" s="32" t="s">
        <v>26</v>
      </c>
      <c r="E16" s="33"/>
      <c r="F16" s="5">
        <f>SUM(F10:F15)</f>
        <v>0</v>
      </c>
      <c r="H16" s="16"/>
      <c r="I16" s="16"/>
      <c r="J16" s="16"/>
      <c r="K16" s="16"/>
      <c r="L16" s="16"/>
      <c r="M16" s="16"/>
    </row>
    <row r="17" spans="4:13" x14ac:dyDescent="0.55000000000000004">
      <c r="D17" s="17" t="s">
        <v>27</v>
      </c>
      <c r="E17" s="18">
        <v>0.1</v>
      </c>
      <c r="F17" s="5">
        <f>F16*E17</f>
        <v>0</v>
      </c>
      <c r="H17" s="16"/>
      <c r="I17" s="16"/>
      <c r="J17" s="16"/>
      <c r="K17" s="16"/>
      <c r="L17" s="16"/>
      <c r="M17" s="16"/>
    </row>
    <row r="18" spans="4:13" x14ac:dyDescent="0.55000000000000004">
      <c r="D18" s="32" t="s">
        <v>28</v>
      </c>
      <c r="E18" s="33"/>
      <c r="F18" s="5">
        <f>SUM(F16:F17)</f>
        <v>0</v>
      </c>
      <c r="H18" s="16"/>
      <c r="I18" s="16"/>
      <c r="J18" s="16"/>
      <c r="K18" s="16"/>
      <c r="L18" s="16"/>
      <c r="M18" s="16"/>
    </row>
    <row r="19" spans="4:13" x14ac:dyDescent="0.55000000000000004">
      <c r="H19" s="16"/>
      <c r="I19" s="16"/>
      <c r="J19" s="16"/>
      <c r="K19" s="16"/>
      <c r="L19" s="16"/>
      <c r="M19" s="16"/>
    </row>
    <row r="20" spans="4:13" x14ac:dyDescent="0.55000000000000004">
      <c r="H20" s="16"/>
      <c r="I20" s="16"/>
      <c r="J20" s="16"/>
      <c r="K20" s="16"/>
      <c r="L20" s="16"/>
      <c r="M20" s="16"/>
    </row>
    <row r="21" spans="4:13" x14ac:dyDescent="0.55000000000000004"/>
    <row r="22" spans="4:13" x14ac:dyDescent="0.55000000000000004"/>
  </sheetData>
  <mergeCells count="4">
    <mergeCell ref="A1:F1"/>
    <mergeCell ref="A4:C4"/>
    <mergeCell ref="D16:E16"/>
    <mergeCell ref="D18:E18"/>
  </mergeCells>
  <phoneticPr fontId="2"/>
  <printOptions horizontalCentere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新規入力">
                <anchor>
                  <from>
                    <xdr:col>10</xdr:col>
                    <xdr:colOff>0</xdr:colOff>
                    <xdr:row>2</xdr:row>
                    <xdr:rowOff>203200</xdr:rowOff>
                  </from>
                  <to>
                    <xdr:col>11</xdr:col>
                    <xdr:colOff>571500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>
                  <from>
                    <xdr:col>10</xdr:col>
                    <xdr:colOff>0</xdr:colOff>
                    <xdr:row>9</xdr:row>
                    <xdr:rowOff>190500</xdr:rowOff>
                  </from>
                  <to>
                    <xdr:col>11</xdr:col>
                    <xdr:colOff>571500</xdr:colOff>
                    <xdr:row>11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>
                  <from>
                    <xdr:col>10</xdr:col>
                    <xdr:colOff>0</xdr:colOff>
                    <xdr:row>12</xdr:row>
                    <xdr:rowOff>69850</xdr:rowOff>
                  </from>
                  <to>
                    <xdr:col>11</xdr:col>
                    <xdr:colOff>571500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odule1.データクリア">
                <anchor>
                  <from>
                    <xdr:col>10</xdr:col>
                    <xdr:colOff>0</xdr:colOff>
                    <xdr:row>0</xdr:row>
                    <xdr:rowOff>107950</xdr:rowOff>
                  </from>
                  <to>
                    <xdr:col>11</xdr:col>
                    <xdr:colOff>571500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odule1.取引先フォーム表示">
                <anchor>
                  <from>
                    <xdr:col>10</xdr:col>
                    <xdr:colOff>0</xdr:colOff>
                    <xdr:row>5</xdr:row>
                    <xdr:rowOff>31750</xdr:rowOff>
                  </from>
                  <to>
                    <xdr:col>11</xdr:col>
                    <xdr:colOff>571500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>
                  <from>
                    <xdr:col>10</xdr:col>
                    <xdr:colOff>0</xdr:colOff>
                    <xdr:row>14</xdr:row>
                    <xdr:rowOff>203200</xdr:rowOff>
                  </from>
                  <to>
                    <xdr:col>11</xdr:col>
                    <xdr:colOff>571500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商品フォーム表示">
                <anchor>
                  <from>
                    <xdr:col>10</xdr:col>
                    <xdr:colOff>0</xdr:colOff>
                    <xdr:row>7</xdr:row>
                    <xdr:rowOff>69850</xdr:rowOff>
                  </from>
                  <to>
                    <xdr:col>11</xdr:col>
                    <xdr:colOff>571500</xdr:colOff>
                    <xdr:row>8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EA6BE-1558-4CF1-BB67-DFA5BE4490F6}">
  <sheetPr codeName="Sheet3"/>
  <dimension ref="A1:I14"/>
  <sheetViews>
    <sheetView workbookViewId="0">
      <selection activeCell="A3" sqref="A3"/>
    </sheetView>
  </sheetViews>
  <sheetFormatPr defaultRowHeight="18" x14ac:dyDescent="0.55000000000000004"/>
  <cols>
    <col min="2" max="2" width="15.58203125" style="11" bestFit="1" customWidth="1"/>
    <col min="4" max="4" width="24.08203125" bestFit="1" customWidth="1"/>
    <col min="6" max="6" width="11.75" bestFit="1" customWidth="1"/>
    <col min="7" max="7" width="10.33203125" style="28" bestFit="1" customWidth="1"/>
    <col min="8" max="8" width="9" style="10"/>
    <col min="9" max="9" width="11.5" style="28" bestFit="1" customWidth="1"/>
  </cols>
  <sheetData>
    <row r="1" spans="1:9" x14ac:dyDescent="0.55000000000000004">
      <c r="A1" t="s">
        <v>69</v>
      </c>
      <c r="B1" s="9"/>
    </row>
    <row r="3" spans="1:9" x14ac:dyDescent="0.55000000000000004">
      <c r="A3" s="12" t="s">
        <v>65</v>
      </c>
      <c r="B3" s="13" t="s">
        <v>66</v>
      </c>
      <c r="C3" s="12" t="s">
        <v>8</v>
      </c>
      <c r="D3" s="12" t="s">
        <v>25</v>
      </c>
      <c r="E3" s="12" t="s">
        <v>3</v>
      </c>
      <c r="F3" s="12" t="s">
        <v>4</v>
      </c>
      <c r="G3" s="29" t="s">
        <v>5</v>
      </c>
      <c r="H3" s="14" t="s">
        <v>6</v>
      </c>
      <c r="I3" s="29" t="s">
        <v>7</v>
      </c>
    </row>
    <row r="4" spans="1:9" x14ac:dyDescent="0.55000000000000004">
      <c r="A4">
        <v>1</v>
      </c>
      <c r="B4" s="11">
        <v>44770</v>
      </c>
      <c r="C4" t="s">
        <v>50</v>
      </c>
      <c r="D4" t="s">
        <v>49</v>
      </c>
      <c r="E4" t="s">
        <v>51</v>
      </c>
      <c r="F4" t="s">
        <v>72</v>
      </c>
      <c r="G4" s="28">
        <v>15000</v>
      </c>
      <c r="H4" s="10">
        <v>2</v>
      </c>
      <c r="I4" s="28">
        <v>30000</v>
      </c>
    </row>
    <row r="5" spans="1:9" x14ac:dyDescent="0.55000000000000004">
      <c r="A5">
        <v>1</v>
      </c>
      <c r="B5" s="11">
        <v>44770</v>
      </c>
      <c r="C5" t="s">
        <v>50</v>
      </c>
      <c r="D5" t="s">
        <v>49</v>
      </c>
      <c r="E5" t="s">
        <v>53</v>
      </c>
      <c r="F5" t="s">
        <v>54</v>
      </c>
      <c r="G5" s="28">
        <v>20000</v>
      </c>
      <c r="H5" s="10">
        <v>2</v>
      </c>
      <c r="I5" s="28">
        <v>40000</v>
      </c>
    </row>
    <row r="6" spans="1:9" x14ac:dyDescent="0.55000000000000004">
      <c r="A6">
        <v>2</v>
      </c>
      <c r="B6" s="11">
        <v>44770</v>
      </c>
      <c r="C6" t="s">
        <v>58</v>
      </c>
      <c r="D6" t="s">
        <v>57</v>
      </c>
      <c r="E6" t="s">
        <v>53</v>
      </c>
      <c r="F6" t="s">
        <v>54</v>
      </c>
      <c r="G6" s="28">
        <v>20000</v>
      </c>
      <c r="H6" s="10">
        <v>2</v>
      </c>
      <c r="I6" s="28">
        <v>40000</v>
      </c>
    </row>
    <row r="7" spans="1:9" x14ac:dyDescent="0.55000000000000004">
      <c r="A7">
        <v>3</v>
      </c>
      <c r="B7" s="11">
        <v>44770</v>
      </c>
      <c r="C7" t="s">
        <v>40</v>
      </c>
      <c r="D7" t="s">
        <v>63</v>
      </c>
      <c r="E7" t="s">
        <v>51</v>
      </c>
      <c r="F7" t="s">
        <v>52</v>
      </c>
      <c r="G7" s="28">
        <v>15000</v>
      </c>
      <c r="H7" s="10">
        <v>5</v>
      </c>
      <c r="I7" s="28">
        <v>75000</v>
      </c>
    </row>
    <row r="8" spans="1:9" x14ac:dyDescent="0.55000000000000004">
      <c r="A8">
        <v>3</v>
      </c>
      <c r="B8" s="11">
        <v>44770</v>
      </c>
      <c r="C8" t="s">
        <v>40</v>
      </c>
      <c r="D8" t="s">
        <v>63</v>
      </c>
      <c r="E8" t="s">
        <v>53</v>
      </c>
      <c r="F8" t="s">
        <v>54</v>
      </c>
      <c r="G8" s="28">
        <v>20000</v>
      </c>
      <c r="H8" s="10">
        <v>5</v>
      </c>
      <c r="I8" s="28">
        <v>100000</v>
      </c>
    </row>
    <row r="9" spans="1:9" x14ac:dyDescent="0.55000000000000004">
      <c r="A9">
        <v>3</v>
      </c>
      <c r="B9" s="11">
        <v>44770</v>
      </c>
      <c r="C9" t="s">
        <v>40</v>
      </c>
      <c r="D9" t="s">
        <v>63</v>
      </c>
      <c r="E9" t="s">
        <v>55</v>
      </c>
      <c r="F9" t="s">
        <v>56</v>
      </c>
      <c r="G9" s="28">
        <v>9000</v>
      </c>
      <c r="H9" s="10">
        <v>1</v>
      </c>
      <c r="I9" s="28">
        <v>9000</v>
      </c>
    </row>
    <row r="10" spans="1:9" x14ac:dyDescent="0.55000000000000004">
      <c r="A10">
        <v>4</v>
      </c>
      <c r="B10" s="11">
        <v>44770</v>
      </c>
      <c r="C10" t="s">
        <v>62</v>
      </c>
      <c r="D10" t="s">
        <v>61</v>
      </c>
      <c r="E10" t="s">
        <v>53</v>
      </c>
      <c r="F10" t="s">
        <v>54</v>
      </c>
      <c r="G10" s="28">
        <v>20000</v>
      </c>
      <c r="H10" s="10">
        <v>1</v>
      </c>
      <c r="I10" s="28">
        <v>20000</v>
      </c>
    </row>
    <row r="11" spans="1:9" x14ac:dyDescent="0.55000000000000004">
      <c r="A11">
        <v>4</v>
      </c>
      <c r="B11" s="11">
        <v>44770</v>
      </c>
      <c r="C11" t="s">
        <v>62</v>
      </c>
      <c r="D11" t="s">
        <v>61</v>
      </c>
      <c r="E11" t="s">
        <v>70</v>
      </c>
      <c r="F11" t="s">
        <v>71</v>
      </c>
      <c r="G11" s="28">
        <v>10000</v>
      </c>
      <c r="H11" s="10">
        <v>1</v>
      </c>
      <c r="I11" s="28">
        <v>10000</v>
      </c>
    </row>
    <row r="12" spans="1:9" x14ac:dyDescent="0.55000000000000004">
      <c r="A12">
        <v>4</v>
      </c>
      <c r="B12" s="11">
        <v>44770</v>
      </c>
      <c r="C12" t="s">
        <v>62</v>
      </c>
      <c r="D12" t="s">
        <v>61</v>
      </c>
      <c r="E12" t="s">
        <v>59</v>
      </c>
      <c r="F12" t="s">
        <v>60</v>
      </c>
      <c r="G12" s="28">
        <v>14000</v>
      </c>
      <c r="H12" s="10">
        <v>1</v>
      </c>
      <c r="I12" s="28">
        <v>14000</v>
      </c>
    </row>
    <row r="13" spans="1:9" x14ac:dyDescent="0.55000000000000004">
      <c r="A13">
        <v>5</v>
      </c>
      <c r="B13" s="11">
        <v>44771</v>
      </c>
      <c r="C13" t="s">
        <v>43</v>
      </c>
      <c r="D13" t="s">
        <v>75</v>
      </c>
      <c r="E13" t="s">
        <v>53</v>
      </c>
      <c r="F13" t="s">
        <v>54</v>
      </c>
      <c r="G13" s="28">
        <v>20000</v>
      </c>
      <c r="H13" s="10">
        <v>3</v>
      </c>
      <c r="I13" s="28">
        <v>60000</v>
      </c>
    </row>
    <row r="14" spans="1:9" x14ac:dyDescent="0.55000000000000004">
      <c r="A14">
        <v>5</v>
      </c>
      <c r="B14" s="11">
        <v>44771</v>
      </c>
      <c r="C14" t="s">
        <v>43</v>
      </c>
      <c r="D14" t="s">
        <v>75</v>
      </c>
      <c r="E14" t="s">
        <v>70</v>
      </c>
      <c r="F14" t="s">
        <v>71</v>
      </c>
      <c r="G14" s="28">
        <v>10000</v>
      </c>
      <c r="H14" s="10">
        <v>3</v>
      </c>
      <c r="I14" s="28">
        <v>30000</v>
      </c>
    </row>
  </sheetData>
  <sortState xmlns:xlrd2="http://schemas.microsoft.com/office/spreadsheetml/2017/richdata2" ref="A4:I14">
    <sortCondition ref="A3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FC19C-3B4B-4F91-9F1C-AFCB4605311F}">
  <sheetPr codeName="Sheet4"/>
  <dimension ref="A1:C8"/>
  <sheetViews>
    <sheetView workbookViewId="0">
      <selection activeCell="A4" sqref="A4:B8"/>
    </sheetView>
  </sheetViews>
  <sheetFormatPr defaultRowHeight="18" x14ac:dyDescent="0.55000000000000004"/>
  <cols>
    <col min="1" max="1" width="14.08203125" bestFit="1" customWidth="1"/>
    <col min="2" max="2" width="25.75" customWidth="1"/>
    <col min="3" max="3" width="15" customWidth="1"/>
  </cols>
  <sheetData>
    <row r="1" spans="1:3" x14ac:dyDescent="0.55000000000000004">
      <c r="A1" t="s">
        <v>31</v>
      </c>
    </row>
    <row r="3" spans="1:3" x14ac:dyDescent="0.55000000000000004">
      <c r="A3" s="6" t="s">
        <v>8</v>
      </c>
      <c r="B3" s="6" t="s">
        <v>32</v>
      </c>
      <c r="C3" s="6" t="s">
        <v>33</v>
      </c>
    </row>
    <row r="4" spans="1:3" x14ac:dyDescent="0.55000000000000004">
      <c r="A4" t="s">
        <v>34</v>
      </c>
      <c r="B4" t="s">
        <v>35</v>
      </c>
      <c r="C4" t="s">
        <v>36</v>
      </c>
    </row>
    <row r="5" spans="1:3" x14ac:dyDescent="0.55000000000000004">
      <c r="A5" t="s">
        <v>37</v>
      </c>
      <c r="B5" t="s">
        <v>38</v>
      </c>
      <c r="C5" t="s">
        <v>39</v>
      </c>
    </row>
    <row r="6" spans="1:3" x14ac:dyDescent="0.55000000000000004">
      <c r="A6" t="s">
        <v>40</v>
      </c>
      <c r="B6" t="s">
        <v>41</v>
      </c>
      <c r="C6" t="s">
        <v>42</v>
      </c>
    </row>
    <row r="7" spans="1:3" x14ac:dyDescent="0.55000000000000004">
      <c r="A7" t="s">
        <v>43</v>
      </c>
      <c r="B7" t="s">
        <v>44</v>
      </c>
      <c r="C7" t="s">
        <v>45</v>
      </c>
    </row>
    <row r="8" spans="1:3" x14ac:dyDescent="0.55000000000000004">
      <c r="A8" t="s">
        <v>46</v>
      </c>
      <c r="B8" t="s">
        <v>47</v>
      </c>
      <c r="C8" t="s">
        <v>48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8BF2-F69A-4649-A035-9FAB443312DB}">
  <sheetPr codeName="Sheet2"/>
  <dimension ref="A1:C11"/>
  <sheetViews>
    <sheetView workbookViewId="0">
      <selection activeCell="A4" sqref="A4:C11"/>
    </sheetView>
  </sheetViews>
  <sheetFormatPr defaultRowHeight="18" x14ac:dyDescent="0.55000000000000004"/>
  <cols>
    <col min="1" max="1" width="14.08203125" bestFit="1" customWidth="1"/>
    <col min="2" max="2" width="25.75" customWidth="1"/>
    <col min="4" max="4" width="10.75" customWidth="1"/>
  </cols>
  <sheetData>
    <row r="1" spans="1:3" x14ac:dyDescent="0.55000000000000004">
      <c r="A1" t="s">
        <v>9</v>
      </c>
    </row>
    <row r="3" spans="1:3" x14ac:dyDescent="0.55000000000000004">
      <c r="A3" s="6" t="s">
        <v>3</v>
      </c>
      <c r="B3" s="6" t="s">
        <v>4</v>
      </c>
      <c r="C3" s="6" t="s">
        <v>5</v>
      </c>
    </row>
    <row r="4" spans="1:3" x14ac:dyDescent="0.55000000000000004">
      <c r="A4" t="s">
        <v>10</v>
      </c>
      <c r="B4" t="s">
        <v>73</v>
      </c>
      <c r="C4" s="7">
        <v>15000</v>
      </c>
    </row>
    <row r="5" spans="1:3" x14ac:dyDescent="0.55000000000000004">
      <c r="A5" t="s">
        <v>11</v>
      </c>
      <c r="B5" t="s">
        <v>12</v>
      </c>
      <c r="C5" s="7">
        <v>12000</v>
      </c>
    </row>
    <row r="6" spans="1:3" x14ac:dyDescent="0.55000000000000004">
      <c r="A6" t="s">
        <v>13</v>
      </c>
      <c r="B6" t="s">
        <v>14</v>
      </c>
      <c r="C6" s="7">
        <v>8000</v>
      </c>
    </row>
    <row r="7" spans="1:3" x14ac:dyDescent="0.55000000000000004">
      <c r="A7" t="s">
        <v>15</v>
      </c>
      <c r="B7" t="s">
        <v>16</v>
      </c>
      <c r="C7" s="7">
        <v>20000</v>
      </c>
    </row>
    <row r="8" spans="1:3" x14ac:dyDescent="0.55000000000000004">
      <c r="A8" t="s">
        <v>17</v>
      </c>
      <c r="B8" t="s">
        <v>18</v>
      </c>
      <c r="C8" s="7">
        <v>13000</v>
      </c>
    </row>
    <row r="9" spans="1:3" x14ac:dyDescent="0.55000000000000004">
      <c r="A9" t="s">
        <v>19</v>
      </c>
      <c r="B9" t="s">
        <v>20</v>
      </c>
      <c r="C9" s="7">
        <v>10000</v>
      </c>
    </row>
    <row r="10" spans="1:3" x14ac:dyDescent="0.55000000000000004">
      <c r="A10" t="s">
        <v>21</v>
      </c>
      <c r="B10" t="s">
        <v>22</v>
      </c>
      <c r="C10" s="7">
        <v>14000</v>
      </c>
    </row>
    <row r="11" spans="1:3" x14ac:dyDescent="0.55000000000000004">
      <c r="A11" t="s">
        <v>23</v>
      </c>
      <c r="B11" t="s">
        <v>24</v>
      </c>
      <c r="C11" s="8">
        <v>9000</v>
      </c>
    </row>
  </sheetData>
  <phoneticPr fontId="2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見積書</vt:lpstr>
      <vt:lpstr>見積一覧</vt:lpstr>
      <vt:lpstr>取引先マスタ</vt:lpstr>
      <vt:lpstr>商品マスタ</vt:lpstr>
      <vt:lpstr>見積書!Print_Area</vt:lpstr>
      <vt:lpstr>検索NO</vt:lpstr>
      <vt:lpstr>見積NO</vt:lpstr>
      <vt:lpstr>取引先リスト</vt:lpstr>
      <vt:lpstr>商品リスト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cp:lastPrinted>2019-02-19T11:58:00Z</cp:lastPrinted>
  <dcterms:created xsi:type="dcterms:W3CDTF">2018-11-27T11:39:04Z</dcterms:created>
  <dcterms:modified xsi:type="dcterms:W3CDTF">2024-09-29T20:58:42Z</dcterms:modified>
</cp:coreProperties>
</file>